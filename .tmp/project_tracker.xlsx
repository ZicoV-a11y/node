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Projects" sheetId="2" state="visible" r:id="rId2"/>
    <sheet name="Tasks" sheetId="3" state="visible" r:id="rId3"/>
    <sheet name="Dashboard" sheetId="4" state="visible" r:id="rId4"/>
  </sheets>
  <definedNames>
    <definedName name="PeopleNames">People!$B$2:$B$100</definedName>
    <definedName name="ProjectNames">Projects!$B$2:$B$100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22" customWidth="1" min="4" max="4"/>
    <col width="12" customWidth="1" min="5" max="5"/>
  </cols>
  <sheetData>
    <row r="1">
      <c r="A1" s="1" t="inlineStr">
        <is>
          <t>PersonID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Email</t>
        </is>
      </c>
      <c r="E1" s="1" t="inlineStr">
        <is>
          <t>Hourly Rate</t>
        </is>
      </c>
    </row>
    <row r="2">
      <c r="A2" s="2" t="n">
        <v>1</v>
      </c>
      <c r="B2" s="2" t="inlineStr">
        <is>
          <t>Alice Johnson</t>
        </is>
      </c>
      <c r="C2" s="2" t="inlineStr">
        <is>
          <t>Developer</t>
        </is>
      </c>
      <c r="D2" s="2" t="inlineStr">
        <is>
          <t>alice@example.com</t>
        </is>
      </c>
      <c r="E2" s="2" t="n">
        <v>75</v>
      </c>
    </row>
    <row r="3">
      <c r="A3" s="2" t="n">
        <v>2</v>
      </c>
      <c r="B3" s="2" t="inlineStr">
        <is>
          <t>Bob Smith</t>
        </is>
      </c>
      <c r="C3" s="2" t="inlineStr">
        <is>
          <t>Designer</t>
        </is>
      </c>
      <c r="D3" s="2" t="inlineStr">
        <is>
          <t>bob@example.com</t>
        </is>
      </c>
      <c r="E3" s="2" t="n">
        <v>65</v>
      </c>
    </row>
    <row r="4">
      <c r="A4" s="2" t="n">
        <v>3</v>
      </c>
      <c r="B4" s="2" t="inlineStr">
        <is>
          <t>Carol Williams</t>
        </is>
      </c>
      <c r="C4" s="2" t="inlineStr">
        <is>
          <t>Manager</t>
        </is>
      </c>
      <c r="D4" s="2" t="inlineStr">
        <is>
          <t>carol@example.com</t>
        </is>
      </c>
      <c r="E4" s="2" t="n">
        <v>85</v>
      </c>
    </row>
    <row r="5">
      <c r="A5" s="2" t="n">
        <v>4</v>
      </c>
      <c r="B5" s="2" t="inlineStr">
        <is>
          <t>David Brown</t>
        </is>
      </c>
      <c r="C5" s="2" t="inlineStr">
        <is>
          <t>Developer</t>
        </is>
      </c>
      <c r="D5" s="2" t="inlineStr">
        <is>
          <t>david@example.com</t>
        </is>
      </c>
      <c r="E5" s="2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ProjectID</t>
        </is>
      </c>
      <c r="B1" s="1" t="inlineStr">
        <is>
          <t>Project Name</t>
        </is>
      </c>
      <c r="C1" s="1" t="inlineStr">
        <is>
          <t>Client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Budget</t>
        </is>
      </c>
    </row>
    <row r="2">
      <c r="A2" s="2" t="n">
        <v>1</v>
      </c>
      <c r="B2" s="2" t="inlineStr">
        <is>
          <t>Website Redesign</t>
        </is>
      </c>
      <c r="C2" s="2" t="inlineStr">
        <is>
          <t>Acme Corp</t>
        </is>
      </c>
      <c r="D2" s="2" t="inlineStr">
        <is>
          <t>2024-01-15</t>
        </is>
      </c>
      <c r="E2" s="2" t="inlineStr">
        <is>
          <t>2024-04-30</t>
        </is>
      </c>
      <c r="F2" s="2" t="n">
        <v>25000</v>
      </c>
    </row>
    <row r="3">
      <c r="A3" s="2" t="n">
        <v>2</v>
      </c>
      <c r="B3" s="2" t="inlineStr">
        <is>
          <t>Mobile App</t>
        </is>
      </c>
      <c r="C3" s="2" t="inlineStr">
        <is>
          <t>TechStart Inc</t>
        </is>
      </c>
      <c r="D3" s="2" t="inlineStr">
        <is>
          <t>2024-02-01</t>
        </is>
      </c>
      <c r="E3" s="2" t="inlineStr">
        <is>
          <t>2024-06-30</t>
        </is>
      </c>
      <c r="F3" s="2" t="n">
        <v>45000</v>
      </c>
    </row>
    <row r="4">
      <c r="A4" s="2" t="n">
        <v>3</v>
      </c>
      <c r="B4" s="2" t="inlineStr">
        <is>
          <t>Database Migration</t>
        </is>
      </c>
      <c r="C4" s="2" t="inlineStr">
        <is>
          <t>Global Ltd</t>
        </is>
      </c>
      <c r="D4" s="2" t="inlineStr">
        <is>
          <t>2024-03-01</t>
        </is>
      </c>
      <c r="E4" s="2" t="inlineStr">
        <is>
          <t>2024-05-15</t>
        </is>
      </c>
      <c r="F4" s="2" t="n">
        <v>18000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5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TaskID</t>
        </is>
      </c>
      <c r="B1" s="1" t="inlineStr">
        <is>
          <t>Task Name</t>
        </is>
      </c>
      <c r="C1" s="1" t="inlineStr">
        <is>
          <t>Project</t>
        </is>
      </c>
      <c r="D1" s="1" t="inlineStr">
        <is>
          <t>Assignee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Hours Est.</t>
        </is>
      </c>
      <c r="H1" s="1" t="inlineStr">
        <is>
          <t>Hours Actual</t>
        </is>
      </c>
      <c r="I1" s="1" t="inlineStr">
        <is>
          <t>Due Date</t>
        </is>
      </c>
    </row>
    <row r="2">
      <c r="A2" s="2" t="n">
        <v>1</v>
      </c>
      <c r="B2" s="2" t="inlineStr">
        <is>
          <t>Design mockups</t>
        </is>
      </c>
      <c r="C2" s="2" t="inlineStr">
        <is>
          <t>Website Redesign</t>
        </is>
      </c>
      <c r="D2" s="2" t="inlineStr">
        <is>
          <t>Bob Smith</t>
        </is>
      </c>
      <c r="E2" s="2" t="inlineStr">
        <is>
          <t>Completed</t>
        </is>
      </c>
      <c r="F2" s="2" t="inlineStr">
        <is>
          <t>High</t>
        </is>
      </c>
      <c r="G2" s="2" t="n">
        <v>20</v>
      </c>
      <c r="H2" s="2" t="n">
        <v>18</v>
      </c>
      <c r="I2" s="2" t="inlineStr">
        <is>
          <t>2024-02-01</t>
        </is>
      </c>
    </row>
    <row r="3">
      <c r="A3" s="2" t="n">
        <v>2</v>
      </c>
      <c r="B3" s="2" t="inlineStr">
        <is>
          <t>Frontend development</t>
        </is>
      </c>
      <c r="C3" s="2" t="inlineStr">
        <is>
          <t>Website Redesign</t>
        </is>
      </c>
      <c r="D3" s="2" t="inlineStr">
        <is>
          <t>Alice Johnson</t>
        </is>
      </c>
      <c r="E3" s="2" t="inlineStr">
        <is>
          <t>In Progress</t>
        </is>
      </c>
      <c r="F3" s="2" t="inlineStr">
        <is>
          <t>High</t>
        </is>
      </c>
      <c r="G3" s="2" t="n">
        <v>40</v>
      </c>
      <c r="H3" s="2" t="n">
        <v>25</v>
      </c>
      <c r="I3" s="2" t="inlineStr">
        <is>
          <t>2024-03-15</t>
        </is>
      </c>
    </row>
    <row r="4">
      <c r="A4" s="2" t="n">
        <v>3</v>
      </c>
      <c r="B4" s="2" t="inlineStr">
        <is>
          <t>API integration</t>
        </is>
      </c>
      <c r="C4" s="2" t="inlineStr">
        <is>
          <t>Mobile App</t>
        </is>
      </c>
      <c r="D4" s="2" t="inlineStr">
        <is>
          <t>David Brown</t>
        </is>
      </c>
      <c r="E4" s="2" t="inlineStr">
        <is>
          <t>Not Started</t>
        </is>
      </c>
      <c r="F4" s="2" t="inlineStr">
        <is>
          <t>Medium</t>
        </is>
      </c>
      <c r="G4" s="2" t="n">
        <v>30</v>
      </c>
      <c r="H4" s="2" t="n">
        <v>0</v>
      </c>
      <c r="I4" s="2" t="inlineStr">
        <is>
          <t>2024-04-01</t>
        </is>
      </c>
    </row>
    <row r="5">
      <c r="A5" s="2" t="n">
        <v>4</v>
      </c>
      <c r="B5" s="2" t="inlineStr">
        <is>
          <t>User testing</t>
        </is>
      </c>
      <c r="C5" s="2" t="inlineStr">
        <is>
          <t>Website Redesign</t>
        </is>
      </c>
      <c r="D5" s="2" t="inlineStr">
        <is>
          <t>Carol Williams</t>
        </is>
      </c>
      <c r="E5" s="2" t="inlineStr">
        <is>
          <t>Not Started</t>
        </is>
      </c>
      <c r="F5" s="2" t="inlineStr">
        <is>
          <t>Medium</t>
        </is>
      </c>
      <c r="G5" s="2" t="n">
        <v>15</v>
      </c>
      <c r="H5" s="2" t="n">
        <v>0</v>
      </c>
      <c r="I5" s="2" t="inlineStr">
        <is>
          <t>2024-04-15</t>
        </is>
      </c>
    </row>
    <row r="6">
      <c r="A6" s="2" t="n">
        <v>5</v>
      </c>
      <c r="B6" s="2" t="inlineStr">
        <is>
          <t>Database schema</t>
        </is>
      </c>
      <c r="C6" s="2" t="inlineStr">
        <is>
          <t>Database Migration</t>
        </is>
      </c>
      <c r="D6" s="2" t="inlineStr">
        <is>
          <t>Alice Johnson</t>
        </is>
      </c>
      <c r="E6" s="2" t="inlineStr">
        <is>
          <t>In Progress</t>
        </is>
      </c>
      <c r="F6" s="2" t="inlineStr">
        <is>
          <t>High</t>
        </is>
      </c>
      <c r="G6" s="2" t="n">
        <v>25</v>
      </c>
      <c r="H6" s="2" t="n">
        <v>12</v>
      </c>
      <c r="I6" s="2" t="inlineStr">
        <is>
          <t>2024-03-20</t>
        </is>
      </c>
    </row>
  </sheetData>
  <dataValidations count="4">
    <dataValidation sqref="E2:E100" showDropDown="0" showInputMessage="0" showErrorMessage="0" allowBlank="1" errorTitle="Invalid Status" error="Please select a valid status" type="list">
      <formula1>"Not Started,In Progress,On Hold,Completed,Cancelled"</formula1>
    </dataValidation>
    <dataValidation sqref="F2:F100" showDropDown="0" showInputMessage="0" showErrorMessage="0" allowBlank="1" type="list">
      <formula1>"Low,Medium,High,Critical"</formula1>
    </dataValidation>
    <dataValidation sqref="C2:C100" showDropDown="0" showInputMessage="0" showErrorMessage="0" allowBlank="1" error="Please select a project from the list" type="list">
      <formula1>=ProjectNames</formula1>
    </dataValidation>
    <dataValidation sqref="D2:D100" showDropDown="0" showInputMessage="0" showErrorMessage="0" allowBlank="1" error="Please select a person from the list" type="list">
      <formula1>=PeopleNames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PROJECT DASHBOARD</t>
        </is>
      </c>
    </row>
    <row r="3">
      <c r="A3" s="4" t="inlineStr">
        <is>
          <t>SUMMARY METRICS</t>
        </is>
      </c>
    </row>
    <row r="4">
      <c r="A4" s="5" t="inlineStr">
        <is>
          <t>Total Tasks:</t>
        </is>
      </c>
      <c r="B4">
        <f>COUNTA(Tasks!A2:A100)</f>
        <v/>
      </c>
    </row>
    <row r="5">
      <c r="A5" s="5" t="inlineStr">
        <is>
          <t>Completed:</t>
        </is>
      </c>
      <c r="B5">
        <f>COUNTIF(Tasks!E:E,"Completed")</f>
        <v/>
      </c>
    </row>
    <row r="6">
      <c r="A6" s="5" t="inlineStr">
        <is>
          <t>In Progress:</t>
        </is>
      </c>
      <c r="B6">
        <f>COUNTIF(Tasks!E:E,"In Progress")</f>
        <v/>
      </c>
    </row>
    <row r="7">
      <c r="A7" s="5" t="inlineStr">
        <is>
          <t>Not Started:</t>
        </is>
      </c>
      <c r="B7">
        <f>COUNTIF(Tasks!E:E,"Not Started")</f>
        <v/>
      </c>
    </row>
    <row r="8">
      <c r="A8" s="5" t="inlineStr">
        <is>
          <t>Completion Rate:</t>
        </is>
      </c>
      <c r="B8" s="6">
        <f>IF(COUNTA(Tasks!A2:A100)&gt;0,COUNTIF(Tasks!E:E,"Completed")/COUNTA(Tasks!A2:A100),0)</f>
        <v/>
      </c>
    </row>
    <row r="9">
      <c r="A9" s="5" t="inlineStr">
        <is>
          <t>Total Hours Est.:</t>
        </is>
      </c>
      <c r="B9">
        <f>SUM(Tasks!G:G)</f>
        <v/>
      </c>
    </row>
    <row r="10">
      <c r="A10" s="5" t="inlineStr">
        <is>
          <t>Total Hours Actual:</t>
        </is>
      </c>
      <c r="B10">
        <f>SUM(Tasks!H:H)</f>
        <v/>
      </c>
    </row>
    <row r="13">
      <c r="A13" s="4" t="inlineStr">
        <is>
          <t>TASKS BY PROJECT</t>
        </is>
      </c>
    </row>
    <row r="14">
      <c r="A14" s="7" t="inlineStr">
        <is>
          <t>Project</t>
        </is>
      </c>
      <c r="B14" s="7" t="inlineStr">
        <is>
          <t>Total</t>
        </is>
      </c>
      <c r="C14" s="7" t="inlineStr">
        <is>
          <t>Completed</t>
        </is>
      </c>
      <c r="D14" s="7" t="inlineStr">
        <is>
          <t>% Done</t>
        </is>
      </c>
    </row>
    <row r="15">
      <c r="A15" t="inlineStr">
        <is>
          <t>Website Redesign</t>
        </is>
      </c>
      <c r="B15">
        <f>COUNTIF(Tasks!C:C,"Website Redesign")</f>
        <v/>
      </c>
      <c r="C15">
        <f>COUNTIFS(Tasks!C:C,"Website Redesign",Tasks!E:E,"Completed")</f>
        <v/>
      </c>
      <c r="D15" s="6">
        <f>IF(B15&gt;0,C15/B15,0)</f>
        <v/>
      </c>
    </row>
    <row r="16">
      <c r="A16" t="inlineStr">
        <is>
          <t>Mobile App</t>
        </is>
      </c>
      <c r="B16">
        <f>COUNTIF(Tasks!C:C,"Mobile App")</f>
        <v/>
      </c>
      <c r="C16">
        <f>COUNTIFS(Tasks!C:C,"Mobile App",Tasks!E:E,"Completed")</f>
        <v/>
      </c>
      <c r="D16" s="6">
        <f>IF(B16&gt;0,C16/B16,0)</f>
        <v/>
      </c>
    </row>
    <row r="17">
      <c r="A17" t="inlineStr">
        <is>
          <t>Database Migration</t>
        </is>
      </c>
      <c r="B17">
        <f>COUNTIF(Tasks!C:C,"Database Migration")</f>
        <v/>
      </c>
      <c r="C17">
        <f>COUNTIFS(Tasks!C:C,"Database Migration",Tasks!E:E,"Completed")</f>
        <v/>
      </c>
      <c r="D17" s="6">
        <f>IF(B17&gt;0,C17/B17,0)</f>
        <v/>
      </c>
    </row>
    <row r="20">
      <c r="A20" s="4" t="inlineStr">
        <is>
          <t>TASKS BY ASSIGNEE</t>
        </is>
      </c>
    </row>
    <row r="21">
      <c r="A21" s="7" t="inlineStr">
        <is>
          <t>Assignee</t>
        </is>
      </c>
      <c r="B21" s="7" t="inlineStr">
        <is>
          <t>Assigned</t>
        </is>
      </c>
      <c r="C21" s="7" t="inlineStr">
        <is>
          <t>Completed</t>
        </is>
      </c>
      <c r="D21" s="7" t="inlineStr">
        <is>
          <t>Hours</t>
        </is>
      </c>
    </row>
    <row r="22">
      <c r="A22" t="inlineStr">
        <is>
          <t>Alice Johnson</t>
        </is>
      </c>
      <c r="B22">
        <f>COUNTIF(Tasks!D:D,"Alice Johnson")</f>
        <v/>
      </c>
      <c r="C22">
        <f>COUNTIFS(Tasks!D:D,"Alice Johnson",Tasks!E:E,"Completed")</f>
        <v/>
      </c>
      <c r="D22">
        <f>SUMIF(Tasks!D:D,"Alice Johnson",Tasks!H:H)</f>
        <v/>
      </c>
    </row>
    <row r="23">
      <c r="A23" t="inlineStr">
        <is>
          <t>Bob Smith</t>
        </is>
      </c>
      <c r="B23">
        <f>COUNTIF(Tasks!D:D,"Bob Smith")</f>
        <v/>
      </c>
      <c r="C23">
        <f>COUNTIFS(Tasks!D:D,"Bob Smith",Tasks!E:E,"Completed")</f>
        <v/>
      </c>
      <c r="D23">
        <f>SUMIF(Tasks!D:D,"Bob Smith",Tasks!H:H)</f>
        <v/>
      </c>
    </row>
    <row r="24">
      <c r="A24" t="inlineStr">
        <is>
          <t>Carol Williams</t>
        </is>
      </c>
      <c r="B24">
        <f>COUNTIF(Tasks!D:D,"Carol Williams")</f>
        <v/>
      </c>
      <c r="C24">
        <f>COUNTIFS(Tasks!D:D,"Carol Williams",Tasks!E:E,"Completed")</f>
        <v/>
      </c>
      <c r="D24">
        <f>SUMIF(Tasks!D:D,"Carol Williams",Tasks!H:H)</f>
        <v/>
      </c>
    </row>
    <row r="25">
      <c r="A25" t="inlineStr">
        <is>
          <t>David Brown</t>
        </is>
      </c>
      <c r="B25">
        <f>COUNTIF(Tasks!D:D,"David Brown")</f>
        <v/>
      </c>
      <c r="C25">
        <f>COUNTIFS(Tasks!D:D,"David Brown",Tasks!E:E,"Completed")</f>
        <v/>
      </c>
      <c r="D25">
        <f>SUMIF(Tasks!D:D,"David Brown",Tasks!H:H)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2026-01-31T20:29:27Z</dcterms:created>
  <dcterms:modified xsi:type="dcterms:W3CDTF">2026-01-31T20:29:27Z</dcterms:modified>
</cp:coreProperties>
</file>